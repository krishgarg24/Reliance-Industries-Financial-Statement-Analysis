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in\Downloads\"/>
    </mc:Choice>
  </mc:AlternateContent>
  <xr:revisionPtr revIDLastSave="0" documentId="13_ncr:1_{E1C01045-0EC8-440A-8F10-6E5BA246189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aw Data" sheetId="1" r:id="rId1"/>
    <sheet name="Financial Statements" sheetId="2" r:id="rId2"/>
    <sheet name="Ratio Analysis" sheetId="3" r:id="rId3"/>
    <sheet name="Dashboard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4" l="1"/>
  <c r="C40" i="2"/>
  <c r="E39" i="2"/>
  <c r="F38" i="2"/>
  <c r="E38" i="2"/>
  <c r="D38" i="2"/>
  <c r="C38" i="2"/>
  <c r="B38" i="2"/>
  <c r="F37" i="2"/>
  <c r="E37" i="2"/>
  <c r="D37" i="2"/>
  <c r="C37" i="2"/>
  <c r="B37" i="2"/>
  <c r="F36" i="2"/>
  <c r="F39" i="2" s="1"/>
  <c r="E36" i="2"/>
  <c r="E40" i="2" s="1"/>
  <c r="D36" i="2"/>
  <c r="D39" i="2" s="1"/>
  <c r="C36" i="2"/>
  <c r="C39" i="2" s="1"/>
  <c r="B36" i="2"/>
  <c r="B39" i="2" s="1"/>
  <c r="F33" i="2"/>
  <c r="E33" i="2"/>
  <c r="D33" i="2"/>
  <c r="C33" i="2"/>
  <c r="B33" i="2"/>
  <c r="F32" i="2"/>
  <c r="F17" i="3" s="1"/>
  <c r="E32" i="2"/>
  <c r="E17" i="3" s="1"/>
  <c r="D32" i="2"/>
  <c r="D17" i="3" s="1"/>
  <c r="C32" i="2"/>
  <c r="C17" i="3" s="1"/>
  <c r="B32" i="2"/>
  <c r="B17" i="3" s="1"/>
  <c r="F31" i="2"/>
  <c r="F14" i="3" s="1"/>
  <c r="C31" i="2"/>
  <c r="F30" i="2"/>
  <c r="E30" i="2"/>
  <c r="D30" i="2"/>
  <c r="C30" i="2"/>
  <c r="B30" i="2"/>
  <c r="F29" i="2"/>
  <c r="E29" i="2"/>
  <c r="E31" i="2" s="1"/>
  <c r="D29" i="2"/>
  <c r="C29" i="2"/>
  <c r="B29" i="2"/>
  <c r="F28" i="2"/>
  <c r="E28" i="2"/>
  <c r="D28" i="2"/>
  <c r="D31" i="2" s="1"/>
  <c r="C28" i="2"/>
  <c r="B28" i="2"/>
  <c r="B31" i="2" s="1"/>
  <c r="B22" i="3" s="1"/>
  <c r="F26" i="2"/>
  <c r="E26" i="2"/>
  <c r="D26" i="2"/>
  <c r="C26" i="2"/>
  <c r="B26" i="2"/>
  <c r="F25" i="2"/>
  <c r="F18" i="3" s="1"/>
  <c r="E25" i="2"/>
  <c r="D25" i="2"/>
  <c r="D18" i="3" s="1"/>
  <c r="D15" i="4" s="1"/>
  <c r="C25" i="2"/>
  <c r="B25" i="2"/>
  <c r="F24" i="2"/>
  <c r="F27" i="2" s="1"/>
  <c r="F23" i="2"/>
  <c r="E23" i="2"/>
  <c r="D23" i="2"/>
  <c r="C23" i="2"/>
  <c r="B23" i="2"/>
  <c r="F22" i="2"/>
  <c r="E22" i="2"/>
  <c r="E24" i="2" s="1"/>
  <c r="E27" i="2" s="1"/>
  <c r="D22" i="2"/>
  <c r="D24" i="2" s="1"/>
  <c r="D27" i="2" s="1"/>
  <c r="C22" i="2"/>
  <c r="C24" i="2" s="1"/>
  <c r="C27" i="2" s="1"/>
  <c r="B22" i="2"/>
  <c r="B24" i="2" s="1"/>
  <c r="B27" i="2" s="1"/>
  <c r="F19" i="2"/>
  <c r="F12" i="4" s="1"/>
  <c r="E19" i="2"/>
  <c r="E12" i="4" s="1"/>
  <c r="D19" i="2"/>
  <c r="C19" i="2"/>
  <c r="C12" i="4" s="1"/>
  <c r="B19" i="2"/>
  <c r="B12" i="4" s="1"/>
  <c r="D18" i="2"/>
  <c r="D10" i="3" s="1"/>
  <c r="B18" i="2"/>
  <c r="B10" i="3" s="1"/>
  <c r="F15" i="2"/>
  <c r="B26" i="3" s="1"/>
  <c r="E15" i="2"/>
  <c r="D15" i="2"/>
  <c r="D14" i="3" s="1"/>
  <c r="C15" i="2"/>
  <c r="C18" i="2" s="1"/>
  <c r="C10" i="3" s="1"/>
  <c r="B15" i="2"/>
  <c r="B11" i="4" s="1"/>
  <c r="F13" i="2"/>
  <c r="E13" i="2"/>
  <c r="D13" i="2"/>
  <c r="C13" i="2"/>
  <c r="B13" i="2"/>
  <c r="F12" i="2"/>
  <c r="E12" i="2"/>
  <c r="D12" i="2"/>
  <c r="C12" i="2"/>
  <c r="B12" i="2"/>
  <c r="F9" i="2"/>
  <c r="E9" i="2"/>
  <c r="D9" i="2"/>
  <c r="C9" i="2"/>
  <c r="B9" i="2"/>
  <c r="D7" i="2"/>
  <c r="D8" i="2" s="1"/>
  <c r="D8" i="3" s="1"/>
  <c r="D13" i="4" s="1"/>
  <c r="F6" i="2"/>
  <c r="E6" i="2"/>
  <c r="D6" i="2"/>
  <c r="C6" i="2"/>
  <c r="B6" i="2"/>
  <c r="F5" i="2"/>
  <c r="B25" i="3" s="1"/>
  <c r="C5" i="4" s="1"/>
  <c r="E5" i="2"/>
  <c r="E5" i="3" s="1"/>
  <c r="D5" i="2"/>
  <c r="D9" i="4" s="1"/>
  <c r="C5" i="2"/>
  <c r="C9" i="4" s="1"/>
  <c r="B5" i="2"/>
  <c r="B7" i="2" s="1"/>
  <c r="B10" i="2" l="1"/>
  <c r="B8" i="2"/>
  <c r="B8" i="3" s="1"/>
  <c r="B13" i="4" s="1"/>
  <c r="B10" i="4"/>
  <c r="B18" i="3"/>
  <c r="B15" i="4" s="1"/>
  <c r="C18" i="3"/>
  <c r="C15" i="4" s="1"/>
  <c r="E18" i="3"/>
  <c r="E15" i="4" s="1"/>
  <c r="E13" i="3"/>
  <c r="E14" i="4" s="1"/>
  <c r="F15" i="4"/>
  <c r="F5" i="4"/>
  <c r="B40" i="2"/>
  <c r="F5" i="3"/>
  <c r="B13" i="3"/>
  <c r="B14" i="4" s="1"/>
  <c r="E14" i="3"/>
  <c r="B5" i="4"/>
  <c r="E9" i="4"/>
  <c r="C11" i="4"/>
  <c r="E18" i="2"/>
  <c r="E10" i="3" s="1"/>
  <c r="E7" i="2"/>
  <c r="F18" i="2"/>
  <c r="F10" i="3" s="1"/>
  <c r="D40" i="2"/>
  <c r="D13" i="3"/>
  <c r="D14" i="4" s="1"/>
  <c r="C22" i="3"/>
  <c r="E11" i="4"/>
  <c r="C7" i="2"/>
  <c r="D10" i="2"/>
  <c r="C13" i="3"/>
  <c r="C14" i="4" s="1"/>
  <c r="D11" i="4"/>
  <c r="F7" i="2"/>
  <c r="D22" i="3"/>
  <c r="F11" i="4"/>
  <c r="F9" i="4"/>
  <c r="F40" i="2"/>
  <c r="F13" i="3"/>
  <c r="E22" i="3"/>
  <c r="D10" i="4"/>
  <c r="C5" i="3"/>
  <c r="B14" i="3"/>
  <c r="F22" i="3"/>
  <c r="B9" i="4"/>
  <c r="D5" i="3"/>
  <c r="C14" i="3"/>
  <c r="C10" i="2" l="1"/>
  <c r="C8" i="2"/>
  <c r="C8" i="3" s="1"/>
  <c r="C13" i="4" s="1"/>
  <c r="C10" i="4"/>
  <c r="F10" i="4"/>
  <c r="F8" i="2"/>
  <c r="F10" i="2"/>
  <c r="E8" i="2"/>
  <c r="E8" i="3" s="1"/>
  <c r="E13" i="4" s="1"/>
  <c r="E10" i="4"/>
  <c r="E10" i="2"/>
  <c r="E5" i="4"/>
  <c r="F14" i="4"/>
  <c r="D19" i="3"/>
  <c r="D11" i="2"/>
  <c r="D9" i="3" s="1"/>
  <c r="D14" i="2"/>
  <c r="D16" i="2" s="1"/>
  <c r="D17" i="2" s="1"/>
  <c r="B19" i="3"/>
  <c r="B11" i="2"/>
  <c r="B9" i="3" s="1"/>
  <c r="B14" i="2"/>
  <c r="B16" i="2" s="1"/>
  <c r="B17" i="2" s="1"/>
  <c r="F11" i="2" l="1"/>
  <c r="F9" i="3" s="1"/>
  <c r="F14" i="2"/>
  <c r="F16" i="2" s="1"/>
  <c r="F17" i="2" s="1"/>
  <c r="F19" i="3"/>
  <c r="F8" i="3"/>
  <c r="F13" i="4" s="1"/>
  <c r="D5" i="4"/>
  <c r="E19" i="3"/>
  <c r="E11" i="2"/>
  <c r="E9" i="3" s="1"/>
  <c r="E14" i="2"/>
  <c r="E16" i="2" s="1"/>
  <c r="E17" i="2" s="1"/>
  <c r="C19" i="3"/>
  <c r="C11" i="2"/>
  <c r="C9" i="3" s="1"/>
  <c r="C14" i="2"/>
  <c r="C16" i="2" s="1"/>
  <c r="C17" i="2" s="1"/>
</calcChain>
</file>

<file path=xl/sharedStrings.xml><?xml version="1.0" encoding="utf-8"?>
<sst xmlns="http://schemas.openxmlformats.org/spreadsheetml/2006/main" count="148" uniqueCount="96">
  <si>
    <t>RELIANCE INDUSTRIES LIMITED — RAW DATA (Consolidated, ₹ Crore)</t>
  </si>
  <si>
    <t>All figures as reported in RIL consolidated financial statements, fiscal year ended 31 March. Source: screener.in (data.sourced from company Annual Reports / BSE filings), stockanalysis.com. Units: ₹ Crore unless noted.</t>
  </si>
  <si>
    <t>INCOME STATEMENT ITEMS</t>
  </si>
  <si>
    <t>FY2022</t>
  </si>
  <si>
    <t>FY2023</t>
  </si>
  <si>
    <t>FY2024</t>
  </si>
  <si>
    <t>FY2025</t>
  </si>
  <si>
    <t>FY2026</t>
  </si>
  <si>
    <t>Source / Note</t>
  </si>
  <si>
    <t>Revenue from Operations</t>
  </si>
  <si>
    <t>screener.in P&amp;L, 'Sales'</t>
  </si>
  <si>
    <t>Total Operating Expenses</t>
  </si>
  <si>
    <t>screener.in P&amp;L, 'Expenses'</t>
  </si>
  <si>
    <t>Other Income</t>
  </si>
  <si>
    <t>screener.in P&amp;L, 'Other Income'</t>
  </si>
  <si>
    <t>Depreciation &amp; Amortisation</t>
  </si>
  <si>
    <t>screener.in P&amp;L, 'Depreciation'</t>
  </si>
  <si>
    <t>Finance Costs (Interest)</t>
  </si>
  <si>
    <t>screener.in P&amp;L, 'Interest'</t>
  </si>
  <si>
    <t>Tax Rate (effective, %)</t>
  </si>
  <si>
    <t>screener.in P&amp;L, 'Tax %'</t>
  </si>
  <si>
    <t>Profit After Tax (PAT)</t>
  </si>
  <si>
    <t>screener.in P&amp;L, 'Net Profit'</t>
  </si>
  <si>
    <t>EPS (Basic, ₹/share)</t>
  </si>
  <si>
    <t>screener.in P&amp;L, 'EPS in Rs'</t>
  </si>
  <si>
    <t>BALANCE SHEET ITEMS</t>
  </si>
  <si>
    <t>Equity Share Capital</t>
  </si>
  <si>
    <t>screener.in Balance Sheet / stockanalysis.com</t>
  </si>
  <si>
    <t>Reserves &amp; Surplus</t>
  </si>
  <si>
    <t>Total Borrowings (Debt)</t>
  </si>
  <si>
    <t>Other Liabilities (incl. non-current)</t>
  </si>
  <si>
    <t>Total Assets / Total Liabilities</t>
  </si>
  <si>
    <t>Net Fixed Assets (incl. CWIP)</t>
  </si>
  <si>
    <t>Investments</t>
  </si>
  <si>
    <t>Other Assets</t>
  </si>
  <si>
    <t>Total Current Assets</t>
  </si>
  <si>
    <t>Total Current Liabilities</t>
  </si>
  <si>
    <t>CASH FLOW ITEMS</t>
  </si>
  <si>
    <t>Cash Flow from Operating Activities</t>
  </si>
  <si>
    <t>screener.in Cash Flow statement</t>
  </si>
  <si>
    <t>Cash Flow from Investing Activities</t>
  </si>
  <si>
    <t>Cash Flow from Financing Activities</t>
  </si>
  <si>
    <t>RELIANCE INDUSTRIES LIMITED — FINANCIAL STATEMENTS (Consolidated, ₹ Crore)</t>
  </si>
  <si>
    <t>INCOME STATEMENT</t>
  </si>
  <si>
    <t>EBITDA</t>
  </si>
  <si>
    <t xml:space="preserve">  EBITDA Margin (%)</t>
  </si>
  <si>
    <t>EBIT</t>
  </si>
  <si>
    <t xml:space="preserve">  EBIT Margin (%)</t>
  </si>
  <si>
    <t>Profit Before Tax (PBT)</t>
  </si>
  <si>
    <t xml:space="preserve">  Tax Expense (plug: PBT - PAT)</t>
  </si>
  <si>
    <t xml:space="preserve">  Effective Tax Rate (%)</t>
  </si>
  <si>
    <t xml:space="preserve">  Net Profit Margin (%)</t>
  </si>
  <si>
    <t>BALANCE SHEET</t>
  </si>
  <si>
    <t>Total Shareholders' Equity</t>
  </si>
  <si>
    <t>Other Liabilities</t>
  </si>
  <si>
    <t>Total Liabilities (incl. Equity)</t>
  </si>
  <si>
    <t>Other Non-Current Assets</t>
  </si>
  <si>
    <t>Total Assets</t>
  </si>
  <si>
    <t xml:space="preserve">  memo: Total Current Assets</t>
  </si>
  <si>
    <t xml:space="preserve">  memo: Total Current Liabilities</t>
  </si>
  <si>
    <t>CASH FLOW STATEMENT</t>
  </si>
  <si>
    <t>Net Change in Cash</t>
  </si>
  <si>
    <t>Free Cash Flow (CFO + CFI)*</t>
  </si>
  <si>
    <t>RELIANCE INDUSTRIES LIMITED — RATIO ANALYSIS</t>
  </si>
  <si>
    <t>GROWTH</t>
  </si>
  <si>
    <t>Revenue Growth (YoY %)</t>
  </si>
  <si>
    <t>n/a</t>
  </si>
  <si>
    <t>PROFITABILITY MARGINS</t>
  </si>
  <si>
    <t>EBITDA Margin (%)</t>
  </si>
  <si>
    <t>EBIT Margin (%)</t>
  </si>
  <si>
    <t>Net Profit Margin (%)</t>
  </si>
  <si>
    <t>RETURNS</t>
  </si>
  <si>
    <t>Return on Equity (ROE, %)</t>
  </si>
  <si>
    <t>Return on Assets (ROA, %)</t>
  </si>
  <si>
    <t>LIQUIDITY &amp; LEVERAGE</t>
  </si>
  <si>
    <t>Current Ratio (x)</t>
  </si>
  <si>
    <t>Debt-to-Equity (x)</t>
  </si>
  <si>
    <t>Interest Coverage Ratio (x)</t>
  </si>
  <si>
    <t>EFFICIENCY</t>
  </si>
  <si>
    <t>Asset Turnover (x)</t>
  </si>
  <si>
    <t>5-Year Revenue CAGR (FY2022–FY2026)</t>
  </si>
  <si>
    <t>5-Year PAT CAGR (FY2022–FY2026)</t>
  </si>
  <si>
    <t>Note: ROE and ROA use fiscal year-end (not average) equity/assets. Interest coverage = EBIT / Finance Costs.</t>
  </si>
  <si>
    <t>RELIANCE INDUSTRIES LIMITED</t>
  </si>
  <si>
    <t>Financial Performance Dashboard  |  FY2022 – FY2026 (Consolidated, ₹ Crore)</t>
  </si>
  <si>
    <t>Revenue (FY2026)</t>
  </si>
  <si>
    <t>Revenue CAGR (4-Yr)</t>
  </si>
  <si>
    <t>EBITDA Margin (FY2026)</t>
  </si>
  <si>
    <t>ROE (FY2026)</t>
  </si>
  <si>
    <t>Debt / Equity (FY2026)</t>
  </si>
  <si>
    <t>Revenue (₹ Cr)</t>
  </si>
  <si>
    <t>EBITDA (₹ Cr)</t>
  </si>
  <si>
    <t>PAT (₹ Cr)</t>
  </si>
  <si>
    <t>EPS (₹)</t>
  </si>
  <si>
    <t>ROE (%)</t>
  </si>
  <si>
    <t>Debt/Equity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</si>
</sst>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"/>
    <numFmt numFmtId="166" formatCode="0.00\x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name val="Arial"/>
      <charset val="1"/>
    </font>
    <font>
      <sz val="11"/>
      <color rgb="FF0000FF"/>
      <name val="Cambria"/>
      <charset val="1"/>
    </font>
    <font>
      <i/>
      <sz val="8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  <font>
      <b/>
      <sz val="20"/>
      <color rgb="FFFFFFFF"/>
      <name val="Arial"/>
      <charset val="1"/>
    </font>
    <font>
      <sz val="11"/>
      <color rgb="FFFFFFFF"/>
      <name val="Arial"/>
      <charset val="1"/>
    </font>
    <font>
      <b/>
      <sz val="18"/>
      <color rgb="FFFFFFFF"/>
      <name val="Arial"/>
      <charset val="1"/>
    </font>
    <font>
      <i/>
      <sz val="9"/>
      <name val="Arial"/>
      <family val="2"/>
    </font>
    <font>
      <sz val="11"/>
      <color rgb="FF008000"/>
      <name val="Arial"/>
      <family val="2"/>
    </font>
    <font>
      <sz val="11"/>
      <color rgb="FF0000FF"/>
      <name val="Cambria"/>
      <family val="1"/>
    </font>
    <font>
      <b/>
      <sz val="13"/>
      <name val="Arial"/>
      <family val="2"/>
    </font>
    <font>
      <sz val="13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3"/>
      <name val="Arial"/>
      <family val="2"/>
    </font>
    <font>
      <i/>
      <sz val="13"/>
      <color rgb="FF808080"/>
      <name val="Arial"/>
      <family val="2"/>
    </font>
    <font>
      <sz val="13"/>
      <color rgb="FF008000"/>
      <name val="Arial"/>
      <family val="2"/>
    </font>
    <font>
      <b/>
      <sz val="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theme="6" tint="-0.499984740745262"/>
        <bgColor rgb="FF333333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0"/>
        <bgColor rgb="FFD9E1F2"/>
      </patternFill>
    </fill>
    <fill>
      <patternFill patternType="solid">
        <fgColor theme="6" tint="-0.499984740745262"/>
        <bgColor rgb="FF1F3864"/>
      </patternFill>
    </fill>
    <fill>
      <patternFill patternType="solid">
        <fgColor theme="0"/>
        <bgColor rgb="FF333333"/>
      </patternFill>
    </fill>
    <fill>
      <patternFill patternType="solid">
        <fgColor theme="6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14999847407452621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 style="thin">
        <color indexed="64"/>
      </top>
      <bottom style="hair">
        <color theme="0" tint="-0.14999847407452621"/>
      </bottom>
      <diagonal/>
    </border>
    <border>
      <left style="hair">
        <color theme="0" tint="-0.14999847407452621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7" fillId="0" borderId="0" xfId="0" applyFont="1"/>
    <xf numFmtId="0" fontId="5" fillId="0" borderId="0" xfId="0" applyFont="1"/>
    <xf numFmtId="3" fontId="6" fillId="0" borderId="0" xfId="0" applyNumberFormat="1" applyFont="1"/>
    <xf numFmtId="10" fontId="6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164" fontId="9" fillId="0" borderId="1" xfId="0" applyNumberFormat="1" applyFont="1" applyBorder="1"/>
    <xf numFmtId="0" fontId="8" fillId="0" borderId="0" xfId="0" applyFont="1"/>
    <xf numFmtId="164" fontId="10" fillId="2" borderId="1" xfId="0" applyNumberFormat="1" applyFont="1" applyFill="1" applyBorder="1"/>
    <xf numFmtId="165" fontId="9" fillId="0" borderId="1" xfId="0" applyNumberFormat="1" applyFont="1" applyBorder="1"/>
    <xf numFmtId="2" fontId="9" fillId="0" borderId="1" xfId="0" applyNumberFormat="1" applyFont="1" applyBorder="1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2" fillId="3" borderId="0" xfId="0" applyFont="1" applyFill="1" applyProtection="1"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8" fillId="4" borderId="0" xfId="0" applyFont="1" applyFill="1"/>
    <xf numFmtId="0" fontId="0" fillId="4" borderId="0" xfId="0" applyFill="1"/>
    <xf numFmtId="3" fontId="13" fillId="6" borderId="0" xfId="0" applyNumberFormat="1" applyFont="1" applyFill="1" applyAlignment="1">
      <alignment horizontal="center" vertical="center"/>
    </xf>
    <xf numFmtId="165" fontId="13" fillId="6" borderId="0" xfId="0" applyNumberFormat="1" applyFont="1" applyFill="1" applyAlignment="1">
      <alignment horizontal="center" vertical="center"/>
    </xf>
    <xf numFmtId="166" fontId="13" fillId="6" borderId="0" xfId="0" applyNumberFormat="1" applyFont="1" applyFill="1" applyAlignment="1">
      <alignment horizontal="center" vertical="center"/>
    </xf>
    <xf numFmtId="0" fontId="0" fillId="0" borderId="5" xfId="0" applyBorder="1"/>
    <xf numFmtId="0" fontId="11" fillId="7" borderId="6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0" fillId="0" borderId="8" xfId="0" applyBorder="1"/>
    <xf numFmtId="0" fontId="12" fillId="7" borderId="0" xfId="0" applyFont="1" applyFill="1" applyAlignment="1">
      <alignment vertical="center"/>
    </xf>
    <xf numFmtId="0" fontId="1" fillId="3" borderId="0" xfId="0" applyFont="1" applyFill="1" applyAlignment="1" applyProtection="1">
      <alignment horizontal="left" vertical="center"/>
      <protection locked="0"/>
    </xf>
    <xf numFmtId="0" fontId="14" fillId="0" borderId="0" xfId="0" applyFont="1" applyAlignment="1" applyProtection="1">
      <alignment vertical="top" wrapText="1"/>
      <protection locked="0"/>
    </xf>
    <xf numFmtId="0" fontId="1" fillId="3" borderId="0" xfId="0" applyFont="1" applyFill="1"/>
    <xf numFmtId="0" fontId="7" fillId="0" borderId="0" xfId="0" applyFont="1"/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3" fontId="16" fillId="0" borderId="0" xfId="0" applyNumberFormat="1" applyFont="1"/>
    <xf numFmtId="0" fontId="17" fillId="4" borderId="0" xfId="0" applyFont="1" applyFill="1"/>
    <xf numFmtId="0" fontId="18" fillId="4" borderId="0" xfId="0" applyFont="1" applyFill="1"/>
    <xf numFmtId="0" fontId="19" fillId="3" borderId="0" xfId="0" applyFont="1" applyFill="1"/>
    <xf numFmtId="0" fontId="19" fillId="3" borderId="0" xfId="0" applyFont="1" applyFill="1" applyAlignment="1">
      <alignment horizontal="center"/>
    </xf>
    <xf numFmtId="0" fontId="20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/>
    <xf numFmtId="0" fontId="18" fillId="0" borderId="0" xfId="0" applyFont="1"/>
    <xf numFmtId="166" fontId="22" fillId="0" borderId="1" xfId="0" applyNumberFormat="1" applyFont="1" applyBorder="1"/>
    <xf numFmtId="0" fontId="18" fillId="0" borderId="2" xfId="0" applyFont="1" applyBorder="1"/>
    <xf numFmtId="0" fontId="17" fillId="0" borderId="0" xfId="0" applyFont="1"/>
    <xf numFmtId="165" fontId="22" fillId="5" borderId="4" xfId="0" applyNumberFormat="1" applyFont="1" applyFill="1" applyBorder="1"/>
    <xf numFmtId="0" fontId="18" fillId="0" borderId="3" xfId="0" applyFont="1" applyBorder="1"/>
    <xf numFmtId="0" fontId="23" fillId="0" borderId="0" xfId="0" applyFont="1"/>
    <xf numFmtId="0" fontId="24" fillId="3" borderId="0" xfId="0" applyFont="1" applyFill="1"/>
    <xf numFmtId="0" fontId="24" fillId="3" borderId="0" xfId="0" applyFont="1" applyFill="1" applyAlignment="1">
      <alignment horizontal="center"/>
    </xf>
    <xf numFmtId="0" fontId="25" fillId="0" borderId="0" xfId="0" applyFont="1"/>
    <xf numFmtId="3" fontId="15" fillId="0" borderId="1" xfId="0" applyNumberFormat="1" applyFont="1" applyBorder="1"/>
    <xf numFmtId="2" fontId="15" fillId="0" borderId="1" xfId="0" applyNumberFormat="1" applyFont="1" applyBorder="1"/>
    <xf numFmtId="165" fontId="15" fillId="0" borderId="1" xfId="0" applyNumberFormat="1" applyFont="1" applyBorder="1"/>
    <xf numFmtId="166" fontId="15" fillId="0" borderId="1" xfId="0" applyNumberFormat="1" applyFont="1" applyBorder="1"/>
    <xf numFmtId="0" fontId="26" fillId="6" borderId="0" xfId="0" applyFont="1" applyFill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BE4B48"/>
      <rgbColor rgb="FFEDEDE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C0504D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PAT Trend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Dashboard!$A$9</c:f>
              <c:strCache>
                <c:ptCount val="1"/>
                <c:pt idx="0">
                  <c:v>Revenue (₹ Cr)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Dashboard!$B$8:$F$8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Dashboard!$B$9:$F$9</c:f>
              <c:numCache>
                <c:formatCode>#,##0</c:formatCode>
                <c:ptCount val="5"/>
                <c:pt idx="0">
                  <c:v>694673</c:v>
                </c:pt>
                <c:pt idx="1">
                  <c:v>876396</c:v>
                </c:pt>
                <c:pt idx="2">
                  <c:v>899041</c:v>
                </c:pt>
                <c:pt idx="3">
                  <c:v>962820</c:v>
                </c:pt>
                <c:pt idx="4">
                  <c:v>1055780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3A-4DC6-9C6C-3CA17015A316}"/>
            </c:ext>
          </c:extLst>
        </c:ser>
        <c:ser>
          <c:idx val="1"/>
          <c:order val="1"/>
          <c:tx>
            <c:strRef>
              <c:f>Dashboard!$A$11</c:f>
              <c:strCache>
                <c:ptCount val="1"/>
                <c:pt idx="0">
                  <c:v>PAT (₹ Cr)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Dashboard!$B$8:$F$8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Dashboard!$B$11:$F$11</c:f>
              <c:numCache>
                <c:formatCode>#,##0</c:formatCode>
                <c:ptCount val="5"/>
                <c:pt idx="0">
                  <c:v>67845</c:v>
                </c:pt>
                <c:pt idx="1">
                  <c:v>74088</c:v>
                </c:pt>
                <c:pt idx="2">
                  <c:v>79020</c:v>
                </c:pt>
                <c:pt idx="3">
                  <c:v>81309</c:v>
                </c:pt>
                <c:pt idx="4">
                  <c:v>95754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3A-4DC6-9C6C-3CA17015A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109600"/>
        <c:axId val="59631252"/>
      </c:lineChart>
      <c:catAx>
        <c:axId val="85109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31252"/>
        <c:crosses val="autoZero"/>
        <c:auto val="1"/>
        <c:lblAlgn val="ctr"/>
        <c:lblOffset val="100"/>
        <c:noMultiLvlLbl val="0"/>
      </c:catAx>
      <c:valAx>
        <c:axId val="59631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09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EBITDA Margin &amp; ROE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Dashboard!$A$13</c:f>
              <c:strCache>
                <c:ptCount val="1"/>
                <c:pt idx="0">
                  <c:v>EBITDA Margin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Dashboard!$B$8:$F$8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Dashboard!$B$13:$F$13</c:f>
              <c:numCache>
                <c:formatCode>0.0%</c:formatCode>
                <c:ptCount val="5"/>
                <c:pt idx="0">
                  <c:v>0.15630519683361813</c:v>
                </c:pt>
                <c:pt idx="1">
                  <c:v>0.16239006111392568</c:v>
                </c:pt>
                <c:pt idx="2">
                  <c:v>0.18074592816122959</c:v>
                </c:pt>
                <c:pt idx="3">
                  <c:v>0.17199268814524002</c:v>
                </c:pt>
                <c:pt idx="4">
                  <c:v>0.16960446305101443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3-4940-888B-2419215A0CC1}"/>
            </c:ext>
          </c:extLst>
        </c:ser>
        <c:ser>
          <c:idx val="1"/>
          <c:order val="1"/>
          <c:tx>
            <c:strRef>
              <c:f>Dashboard!$A$14</c:f>
              <c:strCache>
                <c:ptCount val="1"/>
                <c:pt idx="0">
                  <c:v>ROE (%)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Dashboard!$B$8:$F$8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Dashboard!$B$14:$F$14</c:f>
              <c:numCache>
                <c:formatCode>0.0%</c:formatCode>
                <c:ptCount val="5"/>
                <c:pt idx="0">
                  <c:v>8.7038236784543643E-2</c:v>
                </c:pt>
                <c:pt idx="1">
                  <c:v>0.10349336194179966</c:v>
                </c:pt>
                <c:pt idx="2">
                  <c:v>9.958650553699458E-2</c:v>
                </c:pt>
                <c:pt idx="3">
                  <c:v>9.6429079696394693E-2</c:v>
                </c:pt>
                <c:pt idx="4">
                  <c:v>0.10591905135891508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3-4940-888B-2419215A0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62101"/>
        <c:axId val="41982857"/>
      </c:barChart>
      <c:catAx>
        <c:axId val="771621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82857"/>
        <c:crosses val="autoZero"/>
        <c:auto val="1"/>
        <c:lblAlgn val="ctr"/>
        <c:lblOffset val="100"/>
        <c:noMultiLvlLbl val="0"/>
      </c:catAx>
      <c:valAx>
        <c:axId val="41982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62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85619</xdr:colOff>
      <xdr:row>1</xdr:row>
      <xdr:rowOff>17124</xdr:rowOff>
    </xdr:from>
    <xdr:to>
      <xdr:col>16</xdr:col>
      <xdr:colOff>137724</xdr:colOff>
      <xdr:row>13</xdr:row>
      <xdr:rowOff>99376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85618</xdr:colOff>
      <xdr:row>14</xdr:row>
      <xdr:rowOff>59931</xdr:rowOff>
    </xdr:from>
    <xdr:to>
      <xdr:col>16</xdr:col>
      <xdr:colOff>137723</xdr:colOff>
      <xdr:row>29</xdr:row>
      <xdr:rowOff>81891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zoomScaleNormal="100" workbookViewId="0">
      <selection activeCell="B9" sqref="B9"/>
    </sheetView>
  </sheetViews>
  <sheetFormatPr defaultColWidth="8.6640625" defaultRowHeight="14.4" x14ac:dyDescent="0.3"/>
  <cols>
    <col min="1" max="1" width="42" customWidth="1"/>
    <col min="2" max="6" width="14" customWidth="1"/>
    <col min="7" max="7" width="60" customWidth="1"/>
  </cols>
  <sheetData>
    <row r="1" spans="1:7" s="12" customFormat="1" ht="21.75" customHeight="1" x14ac:dyDescent="0.3">
      <c r="A1" s="30" t="s">
        <v>0</v>
      </c>
      <c r="B1" s="30"/>
      <c r="C1" s="30"/>
      <c r="D1" s="30"/>
      <c r="E1" s="30"/>
      <c r="F1" s="30"/>
      <c r="G1" s="30"/>
    </row>
    <row r="2" spans="1:7" s="12" customFormat="1" ht="16.2" customHeight="1" x14ac:dyDescent="0.3">
      <c r="A2" s="31" t="s">
        <v>1</v>
      </c>
      <c r="B2" s="31"/>
      <c r="C2" s="31"/>
      <c r="D2" s="31"/>
      <c r="E2" s="31"/>
      <c r="F2" s="31"/>
      <c r="G2" s="31"/>
    </row>
    <row r="3" spans="1:7" s="12" customFormat="1" x14ac:dyDescent="0.3"/>
    <row r="4" spans="1:7" s="12" customFormat="1" x14ac:dyDescent="0.3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3" t="s">
        <v>8</v>
      </c>
    </row>
    <row r="5" spans="1:7" x14ac:dyDescent="0.3">
      <c r="A5" s="2" t="s">
        <v>9</v>
      </c>
      <c r="B5" s="3">
        <v>694673</v>
      </c>
      <c r="C5" s="3">
        <v>876396</v>
      </c>
      <c r="D5" s="3">
        <v>899041</v>
      </c>
      <c r="E5" s="3">
        <v>962820</v>
      </c>
      <c r="F5" s="3">
        <v>1055780</v>
      </c>
      <c r="G5" s="1" t="s">
        <v>10</v>
      </c>
    </row>
    <row r="6" spans="1:7" x14ac:dyDescent="0.3">
      <c r="A6" s="2" t="s">
        <v>11</v>
      </c>
      <c r="B6" s="3">
        <v>586092</v>
      </c>
      <c r="C6" s="3">
        <v>734078</v>
      </c>
      <c r="D6" s="3">
        <v>736543</v>
      </c>
      <c r="E6" s="3">
        <v>797222</v>
      </c>
      <c r="F6" s="3">
        <v>876715</v>
      </c>
      <c r="G6" s="1" t="s">
        <v>12</v>
      </c>
    </row>
    <row r="7" spans="1:7" x14ac:dyDescent="0.3">
      <c r="A7" s="2" t="s">
        <v>13</v>
      </c>
      <c r="B7" s="3">
        <v>19600</v>
      </c>
      <c r="C7" s="3">
        <v>12020</v>
      </c>
      <c r="D7" s="3">
        <v>15792</v>
      </c>
      <c r="E7" s="3">
        <v>17824</v>
      </c>
      <c r="F7" s="3">
        <v>28846</v>
      </c>
      <c r="G7" s="1" t="s">
        <v>14</v>
      </c>
    </row>
    <row r="8" spans="1:7" x14ac:dyDescent="0.3">
      <c r="A8" s="2" t="s">
        <v>15</v>
      </c>
      <c r="B8" s="3">
        <v>29782</v>
      </c>
      <c r="C8" s="3">
        <v>40303</v>
      </c>
      <c r="D8" s="3">
        <v>50832</v>
      </c>
      <c r="E8" s="36">
        <v>53136</v>
      </c>
      <c r="F8" s="3">
        <v>57688</v>
      </c>
      <c r="G8" s="1" t="s">
        <v>16</v>
      </c>
    </row>
    <row r="9" spans="1:7" x14ac:dyDescent="0.3">
      <c r="A9" s="2" t="s">
        <v>17</v>
      </c>
      <c r="B9" s="3">
        <v>14584</v>
      </c>
      <c r="C9" s="3">
        <v>19571</v>
      </c>
      <c r="D9" s="3">
        <v>23118</v>
      </c>
      <c r="E9" s="3">
        <v>24269</v>
      </c>
      <c r="F9" s="3">
        <v>27061</v>
      </c>
      <c r="G9" s="1" t="s">
        <v>18</v>
      </c>
    </row>
    <row r="10" spans="1:7" x14ac:dyDescent="0.3">
      <c r="A10" s="2" t="s">
        <v>19</v>
      </c>
      <c r="B10" s="4">
        <v>0.19</v>
      </c>
      <c r="C10" s="4">
        <v>0.22</v>
      </c>
      <c r="D10" s="4">
        <v>0.25</v>
      </c>
      <c r="E10" s="4">
        <v>0.24</v>
      </c>
      <c r="F10" s="4">
        <v>0.22</v>
      </c>
      <c r="G10" s="1" t="s">
        <v>20</v>
      </c>
    </row>
    <row r="11" spans="1:7" x14ac:dyDescent="0.3">
      <c r="A11" s="2" t="s">
        <v>21</v>
      </c>
      <c r="B11" s="3">
        <v>67845</v>
      </c>
      <c r="C11" s="3">
        <v>74088</v>
      </c>
      <c r="D11" s="3">
        <v>79020</v>
      </c>
      <c r="E11" s="3">
        <v>81309</v>
      </c>
      <c r="F11" s="3">
        <v>95754</v>
      </c>
      <c r="G11" s="1" t="s">
        <v>22</v>
      </c>
    </row>
    <row r="12" spans="1:7" x14ac:dyDescent="0.3">
      <c r="A12" s="2" t="s">
        <v>23</v>
      </c>
      <c r="B12" s="5">
        <v>44.87</v>
      </c>
      <c r="C12" s="5">
        <v>49.29</v>
      </c>
      <c r="D12" s="5">
        <v>51.45</v>
      </c>
      <c r="E12" s="5">
        <v>51.47</v>
      </c>
      <c r="F12" s="5">
        <v>59.69</v>
      </c>
      <c r="G12" s="1" t="s">
        <v>24</v>
      </c>
    </row>
    <row r="14" spans="1:7" x14ac:dyDescent="0.3">
      <c r="A14" s="16" t="s">
        <v>25</v>
      </c>
      <c r="B14" s="17" t="s">
        <v>3</v>
      </c>
      <c r="C14" s="17" t="s">
        <v>4</v>
      </c>
      <c r="D14" s="17" t="s">
        <v>5</v>
      </c>
      <c r="E14" s="17" t="s">
        <v>6</v>
      </c>
      <c r="F14" s="17" t="s">
        <v>7</v>
      </c>
    </row>
    <row r="15" spans="1:7" x14ac:dyDescent="0.3">
      <c r="A15" s="2" t="s">
        <v>26</v>
      </c>
      <c r="B15" s="3">
        <v>6765</v>
      </c>
      <c r="C15" s="3">
        <v>6766</v>
      </c>
      <c r="D15" s="3">
        <v>6766</v>
      </c>
      <c r="E15" s="3">
        <v>13532</v>
      </c>
      <c r="F15" s="3">
        <v>13532</v>
      </c>
      <c r="G15" s="1" t="s">
        <v>27</v>
      </c>
    </row>
    <row r="16" spans="1:7" x14ac:dyDescent="0.3">
      <c r="A16" s="2" t="s">
        <v>28</v>
      </c>
      <c r="B16" s="3">
        <v>772720</v>
      </c>
      <c r="C16" s="3">
        <v>709106</v>
      </c>
      <c r="D16" s="3">
        <v>786715</v>
      </c>
      <c r="E16" s="3">
        <v>829668</v>
      </c>
      <c r="F16" s="3">
        <v>890498</v>
      </c>
      <c r="G16" s="1" t="s">
        <v>27</v>
      </c>
    </row>
    <row r="17" spans="1:7" x14ac:dyDescent="0.3">
      <c r="A17" s="2" t="s">
        <v>29</v>
      </c>
      <c r="B17" s="3">
        <v>319158</v>
      </c>
      <c r="C17" s="3">
        <v>451664</v>
      </c>
      <c r="D17" s="3">
        <v>350719</v>
      </c>
      <c r="E17" s="3">
        <v>374313</v>
      </c>
      <c r="F17" s="3">
        <v>402962</v>
      </c>
      <c r="G17" s="1" t="s">
        <v>27</v>
      </c>
    </row>
    <row r="18" spans="1:7" x14ac:dyDescent="0.3">
      <c r="A18" s="2" t="s">
        <v>30</v>
      </c>
      <c r="B18" s="3">
        <v>399979</v>
      </c>
      <c r="C18" s="3">
        <v>438346</v>
      </c>
      <c r="D18" s="3">
        <v>610848</v>
      </c>
      <c r="E18" s="3">
        <v>732200</v>
      </c>
      <c r="F18" s="3">
        <v>870554</v>
      </c>
      <c r="G18" s="1" t="s">
        <v>27</v>
      </c>
    </row>
    <row r="19" spans="1:7" x14ac:dyDescent="0.3">
      <c r="A19" s="2" t="s">
        <v>31</v>
      </c>
      <c r="B19" s="3">
        <v>1498622</v>
      </c>
      <c r="C19" s="3">
        <v>1605882</v>
      </c>
      <c r="D19" s="3">
        <v>1755048</v>
      </c>
      <c r="E19" s="3">
        <v>1949713</v>
      </c>
      <c r="F19" s="3">
        <v>2177546</v>
      </c>
      <c r="G19" s="1" t="s">
        <v>27</v>
      </c>
    </row>
    <row r="20" spans="1:7" x14ac:dyDescent="0.3">
      <c r="A20" s="2" t="s">
        <v>32</v>
      </c>
      <c r="B20" s="3">
        <v>800304</v>
      </c>
      <c r="C20" s="3">
        <v>1018557</v>
      </c>
      <c r="D20" s="3">
        <v>1118840</v>
      </c>
      <c r="E20" s="3">
        <v>1261751</v>
      </c>
      <c r="F20" s="3">
        <v>1362481</v>
      </c>
      <c r="G20" s="1" t="s">
        <v>27</v>
      </c>
    </row>
    <row r="21" spans="1:7" x14ac:dyDescent="0.3">
      <c r="A21" s="2" t="s">
        <v>33</v>
      </c>
      <c r="B21" s="3">
        <v>394264</v>
      </c>
      <c r="C21" s="3">
        <v>235560</v>
      </c>
      <c r="D21" s="3">
        <v>225672</v>
      </c>
      <c r="E21" s="3">
        <v>242381</v>
      </c>
      <c r="F21" s="3">
        <v>248332</v>
      </c>
      <c r="G21" s="1" t="s">
        <v>27</v>
      </c>
    </row>
    <row r="22" spans="1:7" x14ac:dyDescent="0.3">
      <c r="A22" s="2" t="s">
        <v>34</v>
      </c>
      <c r="B22" s="3">
        <v>304054</v>
      </c>
      <c r="C22" s="3">
        <v>351765</v>
      </c>
      <c r="D22" s="3">
        <v>410536</v>
      </c>
      <c r="E22" s="3">
        <v>445581</v>
      </c>
      <c r="F22" s="3">
        <v>566733</v>
      </c>
      <c r="G22" s="1" t="s">
        <v>27</v>
      </c>
    </row>
    <row r="23" spans="1:7" x14ac:dyDescent="0.3">
      <c r="A23" s="2" t="s">
        <v>35</v>
      </c>
      <c r="B23" s="3">
        <v>347019</v>
      </c>
      <c r="C23" s="3">
        <v>425296</v>
      </c>
      <c r="D23" s="3">
        <v>470100</v>
      </c>
      <c r="E23" s="3">
        <v>499270</v>
      </c>
      <c r="F23" s="3">
        <v>594249</v>
      </c>
      <c r="G23" s="1" t="s">
        <v>27</v>
      </c>
    </row>
    <row r="24" spans="1:7" x14ac:dyDescent="0.3">
      <c r="A24" s="2" t="s">
        <v>36</v>
      </c>
      <c r="B24" s="3">
        <v>308662</v>
      </c>
      <c r="C24" s="3">
        <v>395743</v>
      </c>
      <c r="D24" s="3">
        <v>397367</v>
      </c>
      <c r="E24" s="3">
        <v>453737</v>
      </c>
      <c r="F24" s="3">
        <v>541254</v>
      </c>
      <c r="G24" s="1" t="s">
        <v>27</v>
      </c>
    </row>
    <row r="26" spans="1:7" x14ac:dyDescent="0.3">
      <c r="A26" s="16" t="s">
        <v>37</v>
      </c>
      <c r="B26" s="17" t="s">
        <v>3</v>
      </c>
      <c r="C26" s="17" t="s">
        <v>4</v>
      </c>
      <c r="D26" s="17" t="s">
        <v>5</v>
      </c>
      <c r="E26" s="17" t="s">
        <v>6</v>
      </c>
      <c r="F26" s="17" t="s">
        <v>7</v>
      </c>
    </row>
    <row r="27" spans="1:7" x14ac:dyDescent="0.3">
      <c r="A27" s="2" t="s">
        <v>38</v>
      </c>
      <c r="B27" s="6">
        <v>110654</v>
      </c>
      <c r="C27" s="6">
        <v>115032</v>
      </c>
      <c r="D27" s="6">
        <v>158788</v>
      </c>
      <c r="E27" s="6">
        <v>178703</v>
      </c>
      <c r="F27" s="6">
        <v>192113</v>
      </c>
      <c r="G27" s="1" t="s">
        <v>39</v>
      </c>
    </row>
    <row r="28" spans="1:7" x14ac:dyDescent="0.3">
      <c r="A28" s="2" t="s">
        <v>40</v>
      </c>
      <c r="B28" s="6">
        <v>-109162</v>
      </c>
      <c r="C28" s="6">
        <v>-93001</v>
      </c>
      <c r="D28" s="6">
        <v>-113581</v>
      </c>
      <c r="E28" s="6">
        <v>-137535</v>
      </c>
      <c r="F28" s="6">
        <v>-101089</v>
      </c>
      <c r="G28" s="1" t="s">
        <v>39</v>
      </c>
    </row>
    <row r="29" spans="1:7" x14ac:dyDescent="0.3">
      <c r="A29" s="2" t="s">
        <v>41</v>
      </c>
      <c r="B29" s="6">
        <v>17289</v>
      </c>
      <c r="C29" s="6">
        <v>10455</v>
      </c>
      <c r="D29" s="6">
        <v>-16646</v>
      </c>
      <c r="E29" s="6">
        <v>-31891</v>
      </c>
      <c r="F29" s="6">
        <v>-51549</v>
      </c>
      <c r="G29" s="1" t="s">
        <v>39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zoomScaleNormal="100" workbookViewId="0">
      <selection activeCell="C11" sqref="C11"/>
    </sheetView>
  </sheetViews>
  <sheetFormatPr defaultColWidth="8.6640625" defaultRowHeight="14.4" x14ac:dyDescent="0.3"/>
  <cols>
    <col min="1" max="1" width="42" customWidth="1"/>
    <col min="2" max="6" width="14" customWidth="1"/>
  </cols>
  <sheetData>
    <row r="1" spans="1:6" ht="21.75" customHeight="1" x14ac:dyDescent="0.3">
      <c r="A1" s="32" t="s">
        <v>42</v>
      </c>
      <c r="B1" s="32"/>
      <c r="C1" s="32"/>
      <c r="D1" s="32"/>
      <c r="E1" s="32"/>
      <c r="F1" s="32"/>
    </row>
    <row r="3" spans="1:6" x14ac:dyDescent="0.3">
      <c r="A3" s="19" t="s">
        <v>43</v>
      </c>
      <c r="B3" s="20"/>
      <c r="C3" s="20"/>
      <c r="D3" s="20"/>
      <c r="E3" s="20"/>
      <c r="F3" s="20"/>
    </row>
    <row r="4" spans="1:6" x14ac:dyDescent="0.3">
      <c r="A4" s="16"/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</row>
    <row r="5" spans="1:6" x14ac:dyDescent="0.3">
      <c r="A5" s="2" t="s">
        <v>9</v>
      </c>
      <c r="B5" s="7">
        <f>'Raw Data'!B5</f>
        <v>694673</v>
      </c>
      <c r="C5" s="7">
        <f>'Raw Data'!C5</f>
        <v>876396</v>
      </c>
      <c r="D5" s="7">
        <f>'Raw Data'!D5</f>
        <v>899041</v>
      </c>
      <c r="E5" s="7">
        <f>'Raw Data'!E5</f>
        <v>962820</v>
      </c>
      <c r="F5" s="7">
        <f>'Raw Data'!F5</f>
        <v>1055780</v>
      </c>
    </row>
    <row r="6" spans="1:6" x14ac:dyDescent="0.3">
      <c r="A6" s="2" t="s">
        <v>11</v>
      </c>
      <c r="B6" s="7">
        <f>'Raw Data'!B6</f>
        <v>586092</v>
      </c>
      <c r="C6" s="7">
        <f>'Raw Data'!C6</f>
        <v>734078</v>
      </c>
      <c r="D6" s="7">
        <f>'Raw Data'!D6</f>
        <v>736543</v>
      </c>
      <c r="E6" s="7">
        <f>'Raw Data'!E6</f>
        <v>797222</v>
      </c>
      <c r="F6" s="7">
        <f>'Raw Data'!F6</f>
        <v>876715</v>
      </c>
    </row>
    <row r="7" spans="1:6" x14ac:dyDescent="0.3">
      <c r="A7" s="8" t="s">
        <v>44</v>
      </c>
      <c r="B7" s="9">
        <f>B5-B6</f>
        <v>108581</v>
      </c>
      <c r="C7" s="9">
        <f>C5-C6</f>
        <v>142318</v>
      </c>
      <c r="D7" s="9">
        <f>D5-D6</f>
        <v>162498</v>
      </c>
      <c r="E7" s="9">
        <f>E5-E6</f>
        <v>165598</v>
      </c>
      <c r="F7" s="9">
        <f>F5-F6</f>
        <v>179065</v>
      </c>
    </row>
    <row r="8" spans="1:6" x14ac:dyDescent="0.3">
      <c r="A8" s="2" t="s">
        <v>45</v>
      </c>
      <c r="B8" s="10">
        <f>B7/B5</f>
        <v>0.15630519683361813</v>
      </c>
      <c r="C8" s="10">
        <f>C7/C5</f>
        <v>0.16239006111392568</v>
      </c>
      <c r="D8" s="10">
        <f>D7/D5</f>
        <v>0.18074592816122959</v>
      </c>
      <c r="E8" s="10">
        <f>E7/E5</f>
        <v>0.17199268814524002</v>
      </c>
      <c r="F8" s="10">
        <f>F7/F5</f>
        <v>0.16960446305101443</v>
      </c>
    </row>
    <row r="9" spans="1:6" x14ac:dyDescent="0.3">
      <c r="A9" s="2" t="s">
        <v>15</v>
      </c>
      <c r="B9" s="7">
        <f>'Raw Data'!B8</f>
        <v>29782</v>
      </c>
      <c r="C9" s="7">
        <f>'Raw Data'!C8</f>
        <v>40303</v>
      </c>
      <c r="D9" s="7">
        <f>'Raw Data'!D8</f>
        <v>50832</v>
      </c>
      <c r="E9" s="7">
        <f>'Raw Data'!E8</f>
        <v>53136</v>
      </c>
      <c r="F9" s="7">
        <f>'Raw Data'!F8</f>
        <v>57688</v>
      </c>
    </row>
    <row r="10" spans="1:6" x14ac:dyDescent="0.3">
      <c r="A10" s="8" t="s">
        <v>46</v>
      </c>
      <c r="B10" s="9">
        <f>B7-B9</f>
        <v>78799</v>
      </c>
      <c r="C10" s="9">
        <f>C7-C9</f>
        <v>102015</v>
      </c>
      <c r="D10" s="9">
        <f>D7-D9</f>
        <v>111666</v>
      </c>
      <c r="E10" s="9">
        <f>E7-E9</f>
        <v>112462</v>
      </c>
      <c r="F10" s="9">
        <f>F7-F9</f>
        <v>121377</v>
      </c>
    </row>
    <row r="11" spans="1:6" x14ac:dyDescent="0.3">
      <c r="A11" s="2" t="s">
        <v>47</v>
      </c>
      <c r="B11" s="10">
        <f>B10/B5</f>
        <v>0.11343322685637702</v>
      </c>
      <c r="C11" s="10">
        <f>C10/C5</f>
        <v>0.11640285898155628</v>
      </c>
      <c r="D11" s="10">
        <f>D10/D5</f>
        <v>0.12420568138716699</v>
      </c>
      <c r="E11" s="10">
        <f>E10/E5</f>
        <v>0.11680480255914917</v>
      </c>
      <c r="F11" s="10">
        <f>F10/F5</f>
        <v>0.11496429180321657</v>
      </c>
    </row>
    <row r="12" spans="1:6" x14ac:dyDescent="0.3">
      <c r="A12" s="2" t="s">
        <v>13</v>
      </c>
      <c r="B12" s="7">
        <f>'Raw Data'!B7</f>
        <v>19600</v>
      </c>
      <c r="C12" s="7">
        <f>'Raw Data'!C7</f>
        <v>12020</v>
      </c>
      <c r="D12" s="7">
        <f>'Raw Data'!D7</f>
        <v>15792</v>
      </c>
      <c r="E12" s="7">
        <f>'Raw Data'!E7</f>
        <v>17824</v>
      </c>
      <c r="F12" s="7">
        <f>'Raw Data'!F7</f>
        <v>28846</v>
      </c>
    </row>
    <row r="13" spans="1:6" x14ac:dyDescent="0.3">
      <c r="A13" s="2" t="s">
        <v>17</v>
      </c>
      <c r="B13" s="7">
        <f>'Raw Data'!B9</f>
        <v>14584</v>
      </c>
      <c r="C13" s="7">
        <f>'Raw Data'!C9</f>
        <v>19571</v>
      </c>
      <c r="D13" s="7">
        <f>'Raw Data'!D9</f>
        <v>23118</v>
      </c>
      <c r="E13" s="7">
        <f>'Raw Data'!E9</f>
        <v>24269</v>
      </c>
      <c r="F13" s="7">
        <f>'Raw Data'!F9</f>
        <v>27061</v>
      </c>
    </row>
    <row r="14" spans="1:6" x14ac:dyDescent="0.3">
      <c r="A14" s="8" t="s">
        <v>48</v>
      </c>
      <c r="B14" s="9">
        <f>B10+B12-B13</f>
        <v>83815</v>
      </c>
      <c r="C14" s="9">
        <f>C10+C12-C13</f>
        <v>94464</v>
      </c>
      <c r="D14" s="9">
        <f>D10+D12-D13</f>
        <v>104340</v>
      </c>
      <c r="E14" s="9">
        <f>E10+E12-E13</f>
        <v>106017</v>
      </c>
      <c r="F14" s="9">
        <f>F10+F12-F13</f>
        <v>123162</v>
      </c>
    </row>
    <row r="15" spans="1:6" x14ac:dyDescent="0.3">
      <c r="A15" s="8" t="s">
        <v>21</v>
      </c>
      <c r="B15" s="9">
        <f>'Raw Data'!B11</f>
        <v>67845</v>
      </c>
      <c r="C15" s="9">
        <f>'Raw Data'!C11</f>
        <v>74088</v>
      </c>
      <c r="D15" s="9">
        <f>'Raw Data'!D11</f>
        <v>79020</v>
      </c>
      <c r="E15" s="9">
        <f>'Raw Data'!E11</f>
        <v>81309</v>
      </c>
      <c r="F15" s="9">
        <f>'Raw Data'!F11</f>
        <v>95754</v>
      </c>
    </row>
    <row r="16" spans="1:6" x14ac:dyDescent="0.3">
      <c r="A16" s="2" t="s">
        <v>49</v>
      </c>
      <c r="B16" s="7">
        <f>B14-B15</f>
        <v>15970</v>
      </c>
      <c r="C16" s="7">
        <f>C14-C15</f>
        <v>20376</v>
      </c>
      <c r="D16" s="7">
        <f>D14-D15</f>
        <v>25320</v>
      </c>
      <c r="E16" s="7">
        <f>E14-E15</f>
        <v>24708</v>
      </c>
      <c r="F16" s="7">
        <f>F14-F15</f>
        <v>27408</v>
      </c>
    </row>
    <row r="17" spans="1:6" x14ac:dyDescent="0.3">
      <c r="A17" s="2" t="s">
        <v>50</v>
      </c>
      <c r="B17" s="10">
        <f>B16/B14</f>
        <v>0.19053868639265048</v>
      </c>
      <c r="C17" s="10">
        <f>C16/C14</f>
        <v>0.21570121951219512</v>
      </c>
      <c r="D17" s="10">
        <f>D16/D14</f>
        <v>0.24266820011500861</v>
      </c>
      <c r="E17" s="10">
        <f>E16/E14</f>
        <v>0.23305696256260788</v>
      </c>
      <c r="F17" s="10">
        <f>F16/F14</f>
        <v>0.22253617187119404</v>
      </c>
    </row>
    <row r="18" spans="1:6" x14ac:dyDescent="0.3">
      <c r="A18" s="2" t="s">
        <v>51</v>
      </c>
      <c r="B18" s="10">
        <f>B15/B5</f>
        <v>9.7664656608217104E-2</v>
      </c>
      <c r="C18" s="10">
        <f>C15/C5</f>
        <v>8.4537127052154507E-2</v>
      </c>
      <c r="D18" s="10">
        <f>D15/D5</f>
        <v>8.789365557299389E-2</v>
      </c>
      <c r="E18" s="10">
        <f>E15/E5</f>
        <v>8.4448806630522844E-2</v>
      </c>
      <c r="F18" s="10">
        <f>F15/F5</f>
        <v>9.0695031161795073E-2</v>
      </c>
    </row>
    <row r="19" spans="1:6" x14ac:dyDescent="0.3">
      <c r="A19" s="2" t="s">
        <v>23</v>
      </c>
      <c r="B19" s="11">
        <f>'Raw Data'!B12</f>
        <v>44.87</v>
      </c>
      <c r="C19" s="11">
        <f>'Raw Data'!C12</f>
        <v>49.29</v>
      </c>
      <c r="D19" s="11">
        <f>'Raw Data'!D12</f>
        <v>51.45</v>
      </c>
      <c r="E19" s="11">
        <f>'Raw Data'!E12</f>
        <v>51.47</v>
      </c>
      <c r="F19" s="11">
        <f>'Raw Data'!F12</f>
        <v>59.69</v>
      </c>
    </row>
    <row r="21" spans="1:6" x14ac:dyDescent="0.3">
      <c r="A21" s="19" t="s">
        <v>52</v>
      </c>
      <c r="B21" s="20"/>
      <c r="C21" s="20"/>
      <c r="D21" s="20"/>
      <c r="E21" s="20"/>
      <c r="F21" s="20"/>
    </row>
    <row r="22" spans="1:6" x14ac:dyDescent="0.3">
      <c r="A22" s="2" t="s">
        <v>26</v>
      </c>
      <c r="B22" s="7">
        <f>'Raw Data'!B15</f>
        <v>6765</v>
      </c>
      <c r="C22" s="7">
        <f>'Raw Data'!C15</f>
        <v>6766</v>
      </c>
      <c r="D22" s="7">
        <f>'Raw Data'!D15</f>
        <v>6766</v>
      </c>
      <c r="E22" s="7">
        <f>'Raw Data'!E15</f>
        <v>13532</v>
      </c>
      <c r="F22" s="7">
        <f>'Raw Data'!F15</f>
        <v>13532</v>
      </c>
    </row>
    <row r="23" spans="1:6" x14ac:dyDescent="0.3">
      <c r="A23" s="2" t="s">
        <v>28</v>
      </c>
      <c r="B23" s="7">
        <f>'Raw Data'!B16</f>
        <v>772720</v>
      </c>
      <c r="C23" s="7">
        <f>'Raw Data'!C16</f>
        <v>709106</v>
      </c>
      <c r="D23" s="7">
        <f>'Raw Data'!D16</f>
        <v>786715</v>
      </c>
      <c r="E23" s="7">
        <f>'Raw Data'!E16</f>
        <v>829668</v>
      </c>
      <c r="F23" s="7">
        <f>'Raw Data'!F16</f>
        <v>890498</v>
      </c>
    </row>
    <row r="24" spans="1:6" x14ac:dyDescent="0.3">
      <c r="A24" s="8" t="s">
        <v>53</v>
      </c>
      <c r="B24" s="9">
        <f>B22+B23</f>
        <v>779485</v>
      </c>
      <c r="C24" s="9">
        <f>C22+C23</f>
        <v>715872</v>
      </c>
      <c r="D24" s="9">
        <f>D22+D23</f>
        <v>793481</v>
      </c>
      <c r="E24" s="9">
        <f>E22+E23</f>
        <v>843200</v>
      </c>
      <c r="F24" s="9">
        <f>F22+F23</f>
        <v>904030</v>
      </c>
    </row>
    <row r="25" spans="1:6" x14ac:dyDescent="0.3">
      <c r="A25" s="2" t="s">
        <v>29</v>
      </c>
      <c r="B25" s="7">
        <f>'Raw Data'!B17</f>
        <v>319158</v>
      </c>
      <c r="C25" s="7">
        <f>'Raw Data'!C17</f>
        <v>451664</v>
      </c>
      <c r="D25" s="7">
        <f>'Raw Data'!D17</f>
        <v>350719</v>
      </c>
      <c r="E25" s="7">
        <f>'Raw Data'!E17</f>
        <v>374313</v>
      </c>
      <c r="F25" s="7">
        <f>'Raw Data'!F17</f>
        <v>402962</v>
      </c>
    </row>
    <row r="26" spans="1:6" x14ac:dyDescent="0.3">
      <c r="A26" s="2" t="s">
        <v>54</v>
      </c>
      <c r="B26" s="7">
        <f>'Raw Data'!B18</f>
        <v>399979</v>
      </c>
      <c r="C26" s="7">
        <f>'Raw Data'!C18</f>
        <v>438346</v>
      </c>
      <c r="D26" s="7">
        <f>'Raw Data'!D18</f>
        <v>610848</v>
      </c>
      <c r="E26" s="7">
        <f>'Raw Data'!E18</f>
        <v>732200</v>
      </c>
      <c r="F26" s="7">
        <f>'Raw Data'!F18</f>
        <v>870554</v>
      </c>
    </row>
    <row r="27" spans="1:6" x14ac:dyDescent="0.3">
      <c r="A27" s="8" t="s">
        <v>55</v>
      </c>
      <c r="B27" s="9">
        <f>B24+B25+B26</f>
        <v>1498622</v>
      </c>
      <c r="C27" s="9">
        <f>C24+C25+C26</f>
        <v>1605882</v>
      </c>
      <c r="D27" s="9">
        <f>D24+D25+D26</f>
        <v>1755048</v>
      </c>
      <c r="E27" s="9">
        <f>E24+E25+E26</f>
        <v>1949713</v>
      </c>
      <c r="F27" s="9">
        <f>F24+F25+F26</f>
        <v>2177546</v>
      </c>
    </row>
    <row r="28" spans="1:6" x14ac:dyDescent="0.3">
      <c r="A28" s="2" t="s">
        <v>32</v>
      </c>
      <c r="B28" s="7">
        <f>'Raw Data'!B20</f>
        <v>800304</v>
      </c>
      <c r="C28" s="7">
        <f>'Raw Data'!C20</f>
        <v>1018557</v>
      </c>
      <c r="D28" s="7">
        <f>'Raw Data'!D20</f>
        <v>1118840</v>
      </c>
      <c r="E28" s="7">
        <f>'Raw Data'!E20</f>
        <v>1261751</v>
      </c>
      <c r="F28" s="7">
        <f>'Raw Data'!F20</f>
        <v>1362481</v>
      </c>
    </row>
    <row r="29" spans="1:6" x14ac:dyDescent="0.3">
      <c r="A29" s="2" t="s">
        <v>33</v>
      </c>
      <c r="B29" s="7">
        <f>'Raw Data'!B21</f>
        <v>394264</v>
      </c>
      <c r="C29" s="7">
        <f>'Raw Data'!C21</f>
        <v>235560</v>
      </c>
      <c r="D29" s="7">
        <f>'Raw Data'!D21</f>
        <v>225672</v>
      </c>
      <c r="E29" s="7">
        <f>'Raw Data'!E21</f>
        <v>242381</v>
      </c>
      <c r="F29" s="7">
        <f>'Raw Data'!F21</f>
        <v>248332</v>
      </c>
    </row>
    <row r="30" spans="1:6" x14ac:dyDescent="0.3">
      <c r="A30" s="2" t="s">
        <v>56</v>
      </c>
      <c r="B30" s="7">
        <f>'Raw Data'!B22</f>
        <v>304054</v>
      </c>
      <c r="C30" s="7">
        <f>'Raw Data'!C22</f>
        <v>351765</v>
      </c>
      <c r="D30" s="7">
        <f>'Raw Data'!D22</f>
        <v>410536</v>
      </c>
      <c r="E30" s="7">
        <f>'Raw Data'!E22</f>
        <v>445581</v>
      </c>
      <c r="F30" s="7">
        <f>'Raw Data'!F22</f>
        <v>566733</v>
      </c>
    </row>
    <row r="31" spans="1:6" x14ac:dyDescent="0.3">
      <c r="A31" s="8" t="s">
        <v>57</v>
      </c>
      <c r="B31" s="9">
        <f>B28+B29+B30</f>
        <v>1498622</v>
      </c>
      <c r="C31" s="9">
        <f>C28+C29+C30</f>
        <v>1605882</v>
      </c>
      <c r="D31" s="9">
        <f>D28+D29+D30</f>
        <v>1755048</v>
      </c>
      <c r="E31" s="9">
        <f>E28+E29+E30</f>
        <v>1949713</v>
      </c>
      <c r="F31" s="9">
        <f>F28+F29+F30</f>
        <v>2177546</v>
      </c>
    </row>
    <row r="32" spans="1:6" x14ac:dyDescent="0.3">
      <c r="A32" s="2" t="s">
        <v>58</v>
      </c>
      <c r="B32" s="7">
        <f>'Raw Data'!B23</f>
        <v>347019</v>
      </c>
      <c r="C32" s="7">
        <f>'Raw Data'!C23</f>
        <v>425296</v>
      </c>
      <c r="D32" s="7">
        <f>'Raw Data'!D23</f>
        <v>470100</v>
      </c>
      <c r="E32" s="7">
        <f>'Raw Data'!E23</f>
        <v>499270</v>
      </c>
      <c r="F32" s="7">
        <f>'Raw Data'!F23</f>
        <v>594249</v>
      </c>
    </row>
    <row r="33" spans="1:6" x14ac:dyDescent="0.3">
      <c r="A33" s="2" t="s">
        <v>59</v>
      </c>
      <c r="B33" s="7">
        <f>'Raw Data'!B24</f>
        <v>308662</v>
      </c>
      <c r="C33" s="7">
        <f>'Raw Data'!C24</f>
        <v>395743</v>
      </c>
      <c r="D33" s="7">
        <f>'Raw Data'!D24</f>
        <v>397367</v>
      </c>
      <c r="E33" s="7">
        <f>'Raw Data'!E24</f>
        <v>453737</v>
      </c>
      <c r="F33" s="7">
        <f>'Raw Data'!F24</f>
        <v>541254</v>
      </c>
    </row>
    <row r="35" spans="1:6" x14ac:dyDescent="0.3">
      <c r="A35" s="19" t="s">
        <v>60</v>
      </c>
      <c r="B35" s="20"/>
      <c r="C35" s="20"/>
      <c r="D35" s="20"/>
      <c r="E35" s="20"/>
      <c r="F35" s="20"/>
    </row>
    <row r="36" spans="1:6" x14ac:dyDescent="0.3">
      <c r="A36" s="2" t="s">
        <v>38</v>
      </c>
      <c r="B36" s="7">
        <f>'Raw Data'!B27</f>
        <v>110654</v>
      </c>
      <c r="C36" s="7">
        <f>'Raw Data'!C27</f>
        <v>115032</v>
      </c>
      <c r="D36" s="7">
        <f>'Raw Data'!D27</f>
        <v>158788</v>
      </c>
      <c r="E36" s="7">
        <f>'Raw Data'!E27</f>
        <v>178703</v>
      </c>
      <c r="F36" s="7">
        <f>'Raw Data'!F27</f>
        <v>192113</v>
      </c>
    </row>
    <row r="37" spans="1:6" x14ac:dyDescent="0.3">
      <c r="A37" s="2" t="s">
        <v>40</v>
      </c>
      <c r="B37" s="7">
        <f>'Raw Data'!B28</f>
        <v>-109162</v>
      </c>
      <c r="C37" s="7">
        <f>'Raw Data'!C28</f>
        <v>-93001</v>
      </c>
      <c r="D37" s="7">
        <f>'Raw Data'!D28</f>
        <v>-113581</v>
      </c>
      <c r="E37" s="7">
        <f>'Raw Data'!E28</f>
        <v>-137535</v>
      </c>
      <c r="F37" s="7">
        <f>'Raw Data'!F28</f>
        <v>-101089</v>
      </c>
    </row>
    <row r="38" spans="1:6" x14ac:dyDescent="0.3">
      <c r="A38" s="2" t="s">
        <v>41</v>
      </c>
      <c r="B38" s="7">
        <f>'Raw Data'!B29</f>
        <v>17289</v>
      </c>
      <c r="C38" s="7">
        <f>'Raw Data'!C29</f>
        <v>10455</v>
      </c>
      <c r="D38" s="7">
        <f>'Raw Data'!D29</f>
        <v>-16646</v>
      </c>
      <c r="E38" s="7">
        <f>'Raw Data'!E29</f>
        <v>-31891</v>
      </c>
      <c r="F38" s="7">
        <f>'Raw Data'!F29</f>
        <v>-51549</v>
      </c>
    </row>
    <row r="39" spans="1:6" x14ac:dyDescent="0.3">
      <c r="A39" s="8" t="s">
        <v>61</v>
      </c>
      <c r="B39" s="9">
        <f>B36+B37+B38</f>
        <v>18781</v>
      </c>
      <c r="C39" s="9">
        <f>C36+C37+C38</f>
        <v>32486</v>
      </c>
      <c r="D39" s="9">
        <f>D36+D37+D38</f>
        <v>28561</v>
      </c>
      <c r="E39" s="9">
        <f>E36+E37+E38</f>
        <v>9277</v>
      </c>
      <c r="F39" s="9">
        <f>F36+F37+F38</f>
        <v>39475</v>
      </c>
    </row>
    <row r="40" spans="1:6" x14ac:dyDescent="0.3">
      <c r="A40" s="8" t="s">
        <v>62</v>
      </c>
      <c r="B40" s="9">
        <f>B36+B37</f>
        <v>1492</v>
      </c>
      <c r="C40" s="9">
        <f>C36+C37</f>
        <v>22031</v>
      </c>
      <c r="D40" s="9">
        <f>D36+D37</f>
        <v>45207</v>
      </c>
      <c r="E40" s="9">
        <f>E36+E37</f>
        <v>41168</v>
      </c>
      <c r="F40" s="9">
        <f>F36+F37</f>
        <v>91024</v>
      </c>
    </row>
    <row r="42" spans="1:6" x14ac:dyDescent="0.3">
      <c r="A42" s="33"/>
      <c r="B42" s="33"/>
      <c r="C42" s="33"/>
      <c r="D42" s="33"/>
      <c r="E42" s="33"/>
      <c r="F42" s="33"/>
    </row>
  </sheetData>
  <mergeCells count="2">
    <mergeCell ref="A1:F1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="84" zoomScaleNormal="100" workbookViewId="0">
      <selection activeCell="A28" sqref="A28:G28"/>
    </sheetView>
  </sheetViews>
  <sheetFormatPr defaultColWidth="8.6640625" defaultRowHeight="14.4" x14ac:dyDescent="0.3"/>
  <cols>
    <col min="1" max="1" width="38" customWidth="1"/>
    <col min="2" max="6" width="14" customWidth="1"/>
    <col min="7" max="7" width="16" customWidth="1"/>
  </cols>
  <sheetData>
    <row r="1" spans="1:7" ht="21.75" customHeight="1" x14ac:dyDescent="0.3">
      <c r="A1" s="32" t="s">
        <v>63</v>
      </c>
      <c r="B1" s="32"/>
      <c r="C1" s="32"/>
      <c r="D1" s="32"/>
      <c r="E1" s="32"/>
      <c r="F1" s="32"/>
      <c r="G1" s="32"/>
    </row>
    <row r="3" spans="1:7" ht="17.399999999999999" x14ac:dyDescent="0.35">
      <c r="A3" s="37" t="s">
        <v>64</v>
      </c>
      <c r="B3" s="38"/>
      <c r="C3" s="38"/>
      <c r="D3" s="38"/>
      <c r="E3" s="38"/>
      <c r="F3" s="38"/>
      <c r="G3" s="20"/>
    </row>
    <row r="4" spans="1:7" ht="16.8" x14ac:dyDescent="0.3">
      <c r="A4" s="39"/>
      <c r="B4" s="40" t="s">
        <v>3</v>
      </c>
      <c r="C4" s="40" t="s">
        <v>4</v>
      </c>
      <c r="D4" s="40" t="s">
        <v>5</v>
      </c>
      <c r="E4" s="40" t="s">
        <v>6</v>
      </c>
      <c r="F4" s="40" t="s">
        <v>7</v>
      </c>
    </row>
    <row r="5" spans="1:7" ht="17.399999999999999" x14ac:dyDescent="0.35">
      <c r="A5" s="41" t="s">
        <v>65</v>
      </c>
      <c r="B5" s="42" t="s">
        <v>66</v>
      </c>
      <c r="C5" s="43">
        <f>('Financial Statements'!C5-'Financial Statements'!B5)/'Financial Statements'!B5</f>
        <v>0.2615950238457519</v>
      </c>
      <c r="D5" s="43">
        <f>('Financial Statements'!D5-'Financial Statements'!C5)/'Financial Statements'!C5</f>
        <v>2.5838776078393785E-2</v>
      </c>
      <c r="E5" s="43">
        <f>('Financial Statements'!E5-'Financial Statements'!D5)/'Financial Statements'!D5</f>
        <v>7.0941147289167006E-2</v>
      </c>
      <c r="F5" s="43">
        <f>('Financial Statements'!F5-'Financial Statements'!E5)/'Financial Statements'!E5</f>
        <v>9.6549718535136372E-2</v>
      </c>
    </row>
    <row r="6" spans="1:7" ht="17.399999999999999" x14ac:dyDescent="0.35">
      <c r="A6" s="44"/>
      <c r="B6" s="44"/>
      <c r="C6" s="44"/>
      <c r="D6" s="44"/>
      <c r="E6" s="44"/>
      <c r="F6" s="44"/>
    </row>
    <row r="7" spans="1:7" ht="17.399999999999999" x14ac:dyDescent="0.35">
      <c r="A7" s="37" t="s">
        <v>67</v>
      </c>
      <c r="B7" s="38"/>
      <c r="C7" s="38"/>
      <c r="D7" s="38"/>
      <c r="E7" s="38"/>
      <c r="F7" s="38"/>
      <c r="G7" s="20"/>
    </row>
    <row r="8" spans="1:7" ht="16.8" x14ac:dyDescent="0.3">
      <c r="A8" s="41" t="s">
        <v>68</v>
      </c>
      <c r="B8" s="43">
        <f>'Financial Statements'!B8</f>
        <v>0.15630519683361813</v>
      </c>
      <c r="C8" s="43">
        <f>'Financial Statements'!C8</f>
        <v>0.16239006111392568</v>
      </c>
      <c r="D8" s="43">
        <f>'Financial Statements'!D8</f>
        <v>0.18074592816122959</v>
      </c>
      <c r="E8" s="43">
        <f>'Financial Statements'!E8</f>
        <v>0.17199268814524002</v>
      </c>
      <c r="F8" s="43">
        <f>'Financial Statements'!F8</f>
        <v>0.16960446305101443</v>
      </c>
    </row>
    <row r="9" spans="1:7" ht="16.8" x14ac:dyDescent="0.3">
      <c r="A9" s="41" t="s">
        <v>69</v>
      </c>
      <c r="B9" s="43">
        <f>'Financial Statements'!B11</f>
        <v>0.11343322685637702</v>
      </c>
      <c r="C9" s="43">
        <f>'Financial Statements'!C11</f>
        <v>0.11640285898155628</v>
      </c>
      <c r="D9" s="43">
        <f>'Financial Statements'!D11</f>
        <v>0.12420568138716699</v>
      </c>
      <c r="E9" s="43">
        <f>'Financial Statements'!E11</f>
        <v>0.11680480255914917</v>
      </c>
      <c r="F9" s="43">
        <f>'Financial Statements'!F11</f>
        <v>0.11496429180321657</v>
      </c>
    </row>
    <row r="10" spans="1:7" ht="16.8" x14ac:dyDescent="0.3">
      <c r="A10" s="41" t="s">
        <v>70</v>
      </c>
      <c r="B10" s="43">
        <f>'Financial Statements'!B18</f>
        <v>9.7664656608217104E-2</v>
      </c>
      <c r="C10" s="43">
        <f>'Financial Statements'!C18</f>
        <v>8.4537127052154507E-2</v>
      </c>
      <c r="D10" s="43">
        <f>'Financial Statements'!D18</f>
        <v>8.789365557299389E-2</v>
      </c>
      <c r="E10" s="43">
        <f>'Financial Statements'!E18</f>
        <v>8.4448806630522844E-2</v>
      </c>
      <c r="F10" s="43">
        <f>'Financial Statements'!F18</f>
        <v>9.0695031161795073E-2</v>
      </c>
    </row>
    <row r="11" spans="1:7" ht="17.399999999999999" x14ac:dyDescent="0.35">
      <c r="A11" s="44"/>
      <c r="B11" s="44"/>
      <c r="C11" s="44"/>
      <c r="D11" s="44"/>
      <c r="E11" s="44"/>
      <c r="F11" s="44"/>
    </row>
    <row r="12" spans="1:7" ht="17.399999999999999" x14ac:dyDescent="0.35">
      <c r="A12" s="37" t="s">
        <v>71</v>
      </c>
      <c r="B12" s="38"/>
      <c r="C12" s="38"/>
      <c r="D12" s="38"/>
      <c r="E12" s="38"/>
      <c r="F12" s="38"/>
      <c r="G12" s="20"/>
    </row>
    <row r="13" spans="1:7" ht="16.8" x14ac:dyDescent="0.3">
      <c r="A13" s="41" t="s">
        <v>72</v>
      </c>
      <c r="B13" s="43">
        <f>'Financial Statements'!B15/'Financial Statements'!B24</f>
        <v>8.7038236784543643E-2</v>
      </c>
      <c r="C13" s="43">
        <f>'Financial Statements'!C15/'Financial Statements'!C24</f>
        <v>0.10349336194179966</v>
      </c>
      <c r="D13" s="43">
        <f>'Financial Statements'!D15/'Financial Statements'!D24</f>
        <v>9.958650553699458E-2</v>
      </c>
      <c r="E13" s="43">
        <f>'Financial Statements'!E15/'Financial Statements'!E24</f>
        <v>9.6429079696394693E-2</v>
      </c>
      <c r="F13" s="43">
        <f>'Financial Statements'!F15/'Financial Statements'!F24</f>
        <v>0.10591905135891508</v>
      </c>
    </row>
    <row r="14" spans="1:7" ht="16.8" x14ac:dyDescent="0.3">
      <c r="A14" s="41" t="s">
        <v>73</v>
      </c>
      <c r="B14" s="43">
        <f>'Financial Statements'!B15/'Financial Statements'!B31</f>
        <v>4.5271589500220873E-2</v>
      </c>
      <c r="C14" s="43">
        <f>'Financial Statements'!C15/'Financial Statements'!C31</f>
        <v>4.6135394755031811E-2</v>
      </c>
      <c r="D14" s="43">
        <f>'Financial Statements'!D15/'Financial Statements'!D31</f>
        <v>4.5024409588797575E-2</v>
      </c>
      <c r="E14" s="43">
        <f>'Financial Statements'!E15/'Financial Statements'!E31</f>
        <v>4.1703060912041928E-2</v>
      </c>
      <c r="F14" s="43">
        <f>'Financial Statements'!F15/'Financial Statements'!F31</f>
        <v>4.397335349058068E-2</v>
      </c>
    </row>
    <row r="15" spans="1:7" ht="17.399999999999999" x14ac:dyDescent="0.35">
      <c r="A15" s="44"/>
      <c r="B15" s="44"/>
      <c r="C15" s="44"/>
      <c r="D15" s="44"/>
      <c r="E15" s="44"/>
      <c r="F15" s="44"/>
    </row>
    <row r="16" spans="1:7" ht="17.399999999999999" x14ac:dyDescent="0.35">
      <c r="A16" s="37" t="s">
        <v>74</v>
      </c>
      <c r="B16" s="38"/>
      <c r="C16" s="38"/>
      <c r="D16" s="38"/>
      <c r="E16" s="38"/>
      <c r="F16" s="38"/>
      <c r="G16" s="20"/>
    </row>
    <row r="17" spans="1:7" ht="16.8" x14ac:dyDescent="0.3">
      <c r="A17" s="41" t="s">
        <v>75</v>
      </c>
      <c r="B17" s="45">
        <f>'Financial Statements'!B32/'Financial Statements'!B33</f>
        <v>1.1242686174520997</v>
      </c>
      <c r="C17" s="45">
        <f>'Financial Statements'!C32/'Financial Statements'!C33</f>
        <v>1.0746772526614494</v>
      </c>
      <c r="D17" s="45">
        <f>'Financial Statements'!D32/'Financial Statements'!D33</f>
        <v>1.1830373433123536</v>
      </c>
      <c r="E17" s="45">
        <f>'Financial Statements'!E32/'Financial Statements'!E33</f>
        <v>1.1003510844387827</v>
      </c>
      <c r="F17" s="45">
        <f>'Financial Statements'!F32/'Financial Statements'!F33</f>
        <v>1.0979115165892539</v>
      </c>
    </row>
    <row r="18" spans="1:7" ht="16.8" x14ac:dyDescent="0.3">
      <c r="A18" s="41" t="s">
        <v>76</v>
      </c>
      <c r="B18" s="45">
        <f>'Financial Statements'!B25/'Financial Statements'!B24</f>
        <v>0.40944726325715053</v>
      </c>
      <c r="C18" s="45">
        <f>'Financial Statements'!C25/'Financial Statements'!C24</f>
        <v>0.63092843413347632</v>
      </c>
      <c r="D18" s="45">
        <f>'Financial Statements'!D25/'Financial Statements'!D24</f>
        <v>0.44200050158730958</v>
      </c>
      <c r="E18" s="45">
        <f>'Financial Statements'!E25/'Financial Statements'!E24</f>
        <v>0.44391959203036052</v>
      </c>
      <c r="F18" s="45">
        <f>'Financial Statements'!F25/'Financial Statements'!F24</f>
        <v>0.44573963253431853</v>
      </c>
    </row>
    <row r="19" spans="1:7" ht="16.8" x14ac:dyDescent="0.3">
      <c r="A19" s="41" t="s">
        <v>77</v>
      </c>
      <c r="B19" s="45">
        <f>'Financial Statements'!B10/'Financial Statements'!B13</f>
        <v>5.4031130005485464</v>
      </c>
      <c r="C19" s="45">
        <f>'Financial Statements'!C10/'Financial Statements'!C13</f>
        <v>5.2125593991109298</v>
      </c>
      <c r="D19" s="45">
        <f>'Financial Statements'!D10/'Financial Statements'!D13</f>
        <v>4.8302621334025435</v>
      </c>
      <c r="E19" s="45">
        <f>'Financial Statements'!E10/'Financial Statements'!E13</f>
        <v>4.6339775021632539</v>
      </c>
      <c r="F19" s="45">
        <f>'Financial Statements'!F10/'Financial Statements'!F13</f>
        <v>4.4853109641181037</v>
      </c>
    </row>
    <row r="20" spans="1:7" ht="17.399999999999999" x14ac:dyDescent="0.35">
      <c r="A20" s="44"/>
      <c r="B20" s="44"/>
      <c r="C20" s="44"/>
      <c r="D20" s="44"/>
      <c r="E20" s="44"/>
      <c r="F20" s="44"/>
    </row>
    <row r="21" spans="1:7" ht="17.399999999999999" x14ac:dyDescent="0.35">
      <c r="A21" s="37" t="s">
        <v>78</v>
      </c>
      <c r="B21" s="38"/>
      <c r="C21" s="38"/>
      <c r="D21" s="38"/>
      <c r="E21" s="38"/>
      <c r="F21" s="38"/>
      <c r="G21" s="20"/>
    </row>
    <row r="22" spans="1:7" ht="16.8" x14ac:dyDescent="0.3">
      <c r="A22" s="41" t="s">
        <v>79</v>
      </c>
      <c r="B22" s="45">
        <f>'Financial Statements'!B5/'Financial Statements'!B31</f>
        <v>0.4635411731577409</v>
      </c>
      <c r="C22" s="45">
        <f>'Financial Statements'!C5/'Financial Statements'!C31</f>
        <v>0.54574121884422389</v>
      </c>
      <c r="D22" s="45">
        <f>'Financial Statements'!D5/'Financial Statements'!D31</f>
        <v>0.5122600635424216</v>
      </c>
      <c r="E22" s="45">
        <f>'Financial Statements'!E5/'Financial Statements'!E31</f>
        <v>0.49382652728888815</v>
      </c>
      <c r="F22" s="45">
        <f>'Financial Statements'!F5/'Financial Statements'!F31</f>
        <v>0.48484854051303622</v>
      </c>
    </row>
    <row r="23" spans="1:7" ht="17.399999999999999" x14ac:dyDescent="0.35">
      <c r="A23" s="44"/>
      <c r="B23" s="44"/>
      <c r="C23" s="44"/>
      <c r="D23" s="44"/>
      <c r="E23" s="44"/>
      <c r="F23" s="44"/>
    </row>
    <row r="24" spans="1:7" ht="17.399999999999999" x14ac:dyDescent="0.35">
      <c r="A24" s="44"/>
      <c r="B24" s="46"/>
      <c r="C24" s="44"/>
      <c r="D24" s="44"/>
      <c r="E24" s="44"/>
      <c r="F24" s="44"/>
    </row>
    <row r="25" spans="1:7" ht="17.399999999999999" x14ac:dyDescent="0.35">
      <c r="A25" s="47" t="s">
        <v>80</v>
      </c>
      <c r="B25" s="48">
        <f>('Financial Statements'!F5/'Financial Statements'!B5)^(1/4)-1</f>
        <v>0.11032023031385685</v>
      </c>
      <c r="C25" s="44"/>
      <c r="D25" s="44"/>
      <c r="E25" s="44"/>
      <c r="F25" s="44"/>
    </row>
    <row r="26" spans="1:7" ht="17.399999999999999" x14ac:dyDescent="0.35">
      <c r="A26" s="47" t="s">
        <v>81</v>
      </c>
      <c r="B26" s="48">
        <f>('Financial Statements'!F15/'Financial Statements'!B15)^(1/4)-1</f>
        <v>8.9958015666203206E-2</v>
      </c>
      <c r="C26" s="49"/>
      <c r="D26" s="44"/>
      <c r="E26" s="44"/>
      <c r="F26" s="44"/>
    </row>
    <row r="28" spans="1:7" x14ac:dyDescent="0.3">
      <c r="A28" s="50" t="s">
        <v>82</v>
      </c>
      <c r="B28" s="50"/>
      <c r="C28" s="50"/>
      <c r="D28" s="50"/>
      <c r="E28" s="50"/>
      <c r="F28" s="50"/>
      <c r="G28" s="50"/>
    </row>
  </sheetData>
  <mergeCells count="2">
    <mergeCell ref="A1:G1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tabSelected="1" zoomScale="89" zoomScaleNormal="100" workbookViewId="0">
      <pane xSplit="1" topLeftCell="B1" activePane="topRight" state="frozen"/>
      <selection pane="topRight" activeCell="C28" sqref="C28"/>
    </sheetView>
  </sheetViews>
  <sheetFormatPr defaultColWidth="8.6640625" defaultRowHeight="14.4" x14ac:dyDescent="0.3"/>
  <cols>
    <col min="1" max="1" width="20.33203125" customWidth="1"/>
    <col min="2" max="6" width="20" customWidth="1"/>
    <col min="7" max="7" width="8.109375" customWidth="1"/>
    <col min="8" max="8" width="12" customWidth="1"/>
  </cols>
  <sheetData>
    <row r="1" spans="1:9" ht="19.5" customHeight="1" x14ac:dyDescent="0.3">
      <c r="A1" s="34" t="s">
        <v>83</v>
      </c>
      <c r="B1" s="34"/>
      <c r="C1" s="34"/>
      <c r="D1" s="34"/>
      <c r="E1" s="34"/>
      <c r="F1" s="34"/>
      <c r="G1" s="25"/>
      <c r="H1" s="27"/>
    </row>
    <row r="2" spans="1:9" ht="19.5" customHeight="1" x14ac:dyDescent="0.3">
      <c r="A2" s="35" t="s">
        <v>84</v>
      </c>
      <c r="B2" s="35"/>
      <c r="C2" s="35"/>
      <c r="D2" s="35"/>
      <c r="E2" s="35"/>
      <c r="F2" s="35"/>
      <c r="G2" s="26"/>
      <c r="H2" s="29"/>
      <c r="I2" s="28"/>
    </row>
    <row r="3" spans="1:9" x14ac:dyDescent="0.3">
      <c r="H3" s="24"/>
    </row>
    <row r="4" spans="1:9" ht="27.75" customHeight="1" x14ac:dyDescent="0.3">
      <c r="A4" s="59"/>
      <c r="B4" s="58" t="s">
        <v>85</v>
      </c>
      <c r="C4" s="58" t="s">
        <v>86</v>
      </c>
      <c r="D4" s="58" t="s">
        <v>87</v>
      </c>
      <c r="E4" s="58" t="s">
        <v>88</v>
      </c>
      <c r="F4" s="58" t="s">
        <v>89</v>
      </c>
    </row>
    <row r="5" spans="1:9" ht="33.75" customHeight="1" x14ac:dyDescent="0.3">
      <c r="A5" s="59"/>
      <c r="B5" s="21">
        <f>'Financial Statements'!F5/1</f>
        <v>1055780</v>
      </c>
      <c r="C5" s="22">
        <f>'Ratio Analysis'!B25</f>
        <v>0.11032023031385685</v>
      </c>
      <c r="D5" s="22">
        <f>'Financial Statements'!F8</f>
        <v>0.16960446305101443</v>
      </c>
      <c r="E5" s="22">
        <f>'Ratio Analysis'!F13</f>
        <v>0.10591905135891508</v>
      </c>
      <c r="F5" s="23">
        <f>'Ratio Analysis'!F18</f>
        <v>0.44573963253431853</v>
      </c>
      <c r="I5" s="24"/>
    </row>
    <row r="8" spans="1:9" x14ac:dyDescent="0.3">
      <c r="A8" s="51"/>
      <c r="B8" s="52" t="s">
        <v>3</v>
      </c>
      <c r="C8" s="52" t="s">
        <v>4</v>
      </c>
      <c r="D8" s="52" t="s">
        <v>5</v>
      </c>
      <c r="E8" s="52" t="s">
        <v>6</v>
      </c>
      <c r="F8" s="52" t="s">
        <v>7</v>
      </c>
    </row>
    <row r="9" spans="1:9" x14ac:dyDescent="0.3">
      <c r="A9" s="53" t="s">
        <v>90</v>
      </c>
      <c r="B9" s="54">
        <f>'Financial Statements'!B5</f>
        <v>694673</v>
      </c>
      <c r="C9" s="54">
        <f>'Financial Statements'!C5</f>
        <v>876396</v>
      </c>
      <c r="D9" s="54">
        <f>'Financial Statements'!D5</f>
        <v>899041</v>
      </c>
      <c r="E9" s="54">
        <f>'Financial Statements'!E5</f>
        <v>962820</v>
      </c>
      <c r="F9" s="54">
        <f>'Financial Statements'!F5</f>
        <v>1055780</v>
      </c>
    </row>
    <row r="10" spans="1:9" x14ac:dyDescent="0.3">
      <c r="A10" s="53" t="s">
        <v>91</v>
      </c>
      <c r="B10" s="54">
        <f>'Financial Statements'!B7</f>
        <v>108581</v>
      </c>
      <c r="C10" s="54">
        <f>'Financial Statements'!C7</f>
        <v>142318</v>
      </c>
      <c r="D10" s="54">
        <f>'Financial Statements'!D7</f>
        <v>162498</v>
      </c>
      <c r="E10" s="54">
        <f>'Financial Statements'!E7</f>
        <v>165598</v>
      </c>
      <c r="F10" s="54">
        <f>'Financial Statements'!F7</f>
        <v>179065</v>
      </c>
    </row>
    <row r="11" spans="1:9" x14ac:dyDescent="0.3">
      <c r="A11" s="53" t="s">
        <v>92</v>
      </c>
      <c r="B11" s="54">
        <f>'Financial Statements'!B15</f>
        <v>67845</v>
      </c>
      <c r="C11" s="54">
        <f>'Financial Statements'!C15</f>
        <v>74088</v>
      </c>
      <c r="D11" s="54">
        <f>'Financial Statements'!D15</f>
        <v>79020</v>
      </c>
      <c r="E11" s="54">
        <f>'Financial Statements'!E15</f>
        <v>81309</v>
      </c>
      <c r="F11" s="54">
        <f>'Financial Statements'!F15</f>
        <v>95754</v>
      </c>
    </row>
    <row r="12" spans="1:9" x14ac:dyDescent="0.3">
      <c r="A12" s="53" t="s">
        <v>93</v>
      </c>
      <c r="B12" s="55">
        <f>'Financial Statements'!B19</f>
        <v>44.87</v>
      </c>
      <c r="C12" s="55">
        <f>'Financial Statements'!C19</f>
        <v>49.29</v>
      </c>
      <c r="D12" s="55">
        <f>'Financial Statements'!D19</f>
        <v>51.45</v>
      </c>
      <c r="E12" s="55">
        <f>'Financial Statements'!E19</f>
        <v>51.47</v>
      </c>
      <c r="F12" s="55">
        <f>'Financial Statements'!F19</f>
        <v>59.69</v>
      </c>
    </row>
    <row r="13" spans="1:9" x14ac:dyDescent="0.3">
      <c r="A13" s="53" t="s">
        <v>68</v>
      </c>
      <c r="B13" s="56">
        <f>'Ratio Analysis'!B8</f>
        <v>0.15630519683361813</v>
      </c>
      <c r="C13" s="56">
        <f>'Ratio Analysis'!C8</f>
        <v>0.16239006111392568</v>
      </c>
      <c r="D13" s="56">
        <f>'Ratio Analysis'!D8</f>
        <v>0.18074592816122959</v>
      </c>
      <c r="E13" s="56">
        <f>'Ratio Analysis'!E8</f>
        <v>0.17199268814524002</v>
      </c>
      <c r="F13" s="56">
        <f>'Ratio Analysis'!F8</f>
        <v>0.16960446305101443</v>
      </c>
    </row>
    <row r="14" spans="1:9" x14ac:dyDescent="0.3">
      <c r="A14" s="53" t="s">
        <v>94</v>
      </c>
      <c r="B14" s="56">
        <f>'Ratio Analysis'!B13</f>
        <v>8.7038236784543643E-2</v>
      </c>
      <c r="C14" s="56">
        <f>'Ratio Analysis'!C13</f>
        <v>0.10349336194179966</v>
      </c>
      <c r="D14" s="56">
        <f>'Ratio Analysis'!D13</f>
        <v>9.958650553699458E-2</v>
      </c>
      <c r="E14" s="56">
        <f>'Ratio Analysis'!E13</f>
        <v>9.6429079696394693E-2</v>
      </c>
      <c r="F14" s="56">
        <f>'Ratio Analysis'!F13</f>
        <v>0.10591905135891508</v>
      </c>
    </row>
    <row r="15" spans="1:9" x14ac:dyDescent="0.3">
      <c r="A15" s="53" t="s">
        <v>95</v>
      </c>
      <c r="B15" s="57">
        <f>'Ratio Analysis'!B18</f>
        <v>0.40944726325715053</v>
      </c>
      <c r="C15" s="57">
        <f>'Ratio Analysis'!C18</f>
        <v>0.63092843413347632</v>
      </c>
      <c r="D15" s="57">
        <f>'Ratio Analysis'!D18</f>
        <v>0.44200050158730958</v>
      </c>
      <c r="E15" s="57">
        <f>'Ratio Analysis'!E18</f>
        <v>0.44391959203036052</v>
      </c>
      <c r="F15" s="57">
        <f>'Ratio Analysis'!F18</f>
        <v>0.44573963253431853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Financial Statements</vt:lpstr>
      <vt:lpstr>Ratio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 GARG 2402203101</cp:lastModifiedBy>
  <cp:revision>1</cp:revision>
  <dcterms:created xsi:type="dcterms:W3CDTF">2026-09-25T09:25:34Z</dcterms:created>
  <dcterms:modified xsi:type="dcterms:W3CDTF">2026-09-26T07:24:17Z</dcterms:modified>
  <dc:language>en-US</dc:language>
</cp:coreProperties>
</file>